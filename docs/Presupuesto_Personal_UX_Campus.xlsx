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73895482579733/Documentos/A UX/Nivel 2 Módulo 02/"/>
    </mc:Choice>
  </mc:AlternateContent>
  <xr:revisionPtr revIDLastSave="0" documentId="8_{C63B2AF9-8D5E-4C3B-BC22-41C08C1D67D5}" xr6:coauthVersionLast="47" xr6:coauthVersionMax="47" xr10:uidLastSave="{00000000-0000-0000-0000-000000000000}"/>
  <bookViews>
    <workbookView xWindow="-110" yWindow="-110" windowWidth="19420" windowHeight="10300" xr2:uid="{9E0637DC-2445-4EFB-A31D-48C7B6BF3107}"/>
  </bookViews>
  <sheets>
    <sheet name="Presupuesto" sheetId="1" r:id="rId1"/>
  </sheets>
  <definedNames>
    <definedName name="_xlnm.Print_Area" localSheetId="0">Presupuesto!$A$1:$F$59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51" i="1"/>
  <c r="C51" i="1"/>
  <c r="E50" i="1"/>
  <c r="E49" i="1"/>
  <c r="E48" i="1"/>
  <c r="E47" i="1"/>
  <c r="E46" i="1"/>
  <c r="D43" i="1"/>
  <c r="J41" i="1" s="1"/>
  <c r="C43" i="1"/>
  <c r="E43" i="1" s="1"/>
  <c r="E42" i="1"/>
  <c r="E41" i="1"/>
  <c r="E40" i="1"/>
  <c r="E39" i="1"/>
  <c r="D36" i="1"/>
  <c r="J40" i="1" s="1"/>
  <c r="C36" i="1"/>
  <c r="E35" i="1"/>
  <c r="E34" i="1"/>
  <c r="E33" i="1"/>
  <c r="E32" i="1"/>
  <c r="E31" i="1"/>
  <c r="D28" i="1"/>
  <c r="J39" i="1" s="1"/>
  <c r="C28" i="1"/>
  <c r="E27" i="1"/>
  <c r="E26" i="1"/>
  <c r="E25" i="1"/>
  <c r="E24" i="1"/>
  <c r="E23" i="1"/>
  <c r="E22" i="1"/>
  <c r="D19" i="1"/>
  <c r="D55" i="1" s="1"/>
  <c r="C19" i="1"/>
  <c r="C55" i="1" s="1"/>
  <c r="E18" i="1"/>
  <c r="E17" i="1"/>
  <c r="E16" i="1"/>
  <c r="D13" i="1"/>
  <c r="F12" i="1" s="1"/>
  <c r="E12" i="1"/>
  <c r="E11" i="1"/>
  <c r="E10" i="1"/>
  <c r="E9" i="1"/>
  <c r="E51" i="1" l="1"/>
  <c r="E36" i="1"/>
  <c r="J15" i="1"/>
  <c r="J7" i="1"/>
  <c r="J42" i="1"/>
  <c r="C56" i="1"/>
  <c r="D56" i="1"/>
  <c r="E28" i="1"/>
  <c r="J38" i="1"/>
  <c r="E19" i="1"/>
  <c r="F10" i="1"/>
  <c r="F13" i="1"/>
  <c r="F17" i="1"/>
  <c r="F22" i="1"/>
  <c r="F24" i="1"/>
  <c r="F26" i="1"/>
  <c r="F31" i="1"/>
  <c r="F33" i="1"/>
  <c r="F35" i="1"/>
  <c r="F36" i="1"/>
  <c r="F40" i="1"/>
  <c r="F42" i="1"/>
  <c r="F43" i="1"/>
  <c r="F47" i="1"/>
  <c r="F49" i="1"/>
  <c r="J13" i="1"/>
  <c r="F9" i="1"/>
  <c r="F11" i="1"/>
  <c r="F16" i="1"/>
  <c r="F18" i="1"/>
  <c r="F19" i="1"/>
  <c r="F23" i="1"/>
  <c r="F25" i="1"/>
  <c r="F27" i="1"/>
  <c r="F28" i="1"/>
  <c r="F32" i="1"/>
  <c r="F34" i="1"/>
  <c r="F39" i="1"/>
  <c r="F41" i="1"/>
  <c r="F46" i="1"/>
  <c r="F48" i="1"/>
  <c r="F50" i="1"/>
  <c r="F51" i="1"/>
  <c r="J9" i="1"/>
  <c r="D54" i="1"/>
  <c r="J11" i="1"/>
  <c r="E13" i="1"/>
  <c r="C54" i="1"/>
  <c r="C58" i="1" l="1"/>
  <c r="D58" i="1"/>
</calcChain>
</file>

<file path=xl/sharedStrings.xml><?xml version="1.0" encoding="utf-8"?>
<sst xmlns="http://schemas.openxmlformats.org/spreadsheetml/2006/main" count="74" uniqueCount="71">
  <si>
    <t>PRESUPUESTO PERSONAL MENSUAL</t>
  </si>
  <si>
    <t>UX Campus  ·  Planificación Financiera Personal  ·  Nivel 1 — Módulo 02</t>
  </si>
  <si>
    <t>Completá con tus datos para poner en práctica los conceptos del módulo</t>
  </si>
  <si>
    <t>Mes:</t>
  </si>
  <si>
    <t>INDICADORES CLAVE</t>
  </si>
  <si>
    <t>Categoría</t>
  </si>
  <si>
    <t>Presupuestado ($)</t>
  </si>
  <si>
    <t>Real ($)</t>
  </si>
  <si>
    <t>Diferencia ($)</t>
  </si>
  <si>
    <t>% Ingreso</t>
  </si>
  <si>
    <t>Tasa de ahorro</t>
  </si>
  <si>
    <t>INGRESOS</t>
  </si>
  <si>
    <t>Salario neto</t>
  </si>
  <si>
    <t>Gastos fijos / Ingreso</t>
  </si>
  <si>
    <t>Aguinaldo (prorrateo mensual)</t>
  </si>
  <si>
    <t>Ingresos variables</t>
  </si>
  <si>
    <t>Gastos variables / Ingreso</t>
  </si>
  <si>
    <t>Ingresos extraordinarios</t>
  </si>
  <si>
    <t>Total Ingresos</t>
  </si>
  <si>
    <t>Microgastos / Ingreso</t>
  </si>
  <si>
    <t>AHORRO  ·  Pagáte a vos primero</t>
  </si>
  <si>
    <t>Disponible post-ahorro</t>
  </si>
  <si>
    <t>Fondo de emergencia</t>
  </si>
  <si>
    <t>Ahorro mediano plazo (1–5 años)</t>
  </si>
  <si>
    <t>Ahorro largo plazo (+5 años)</t>
  </si>
  <si>
    <t>CONCEPTOS CLAVE</t>
  </si>
  <si>
    <t>Total Ahorro</t>
  </si>
  <si>
    <t>▸ Estrategia recomendada:</t>
  </si>
  <si>
    <t>GASTOS FIJOS</t>
  </si>
  <si>
    <t xml:space="preserve">  Ingresos → Ahorro → Gastos</t>
  </si>
  <si>
    <t>Alquiler / Hipoteca</t>
  </si>
  <si>
    <t xml:space="preserve">  (no al revés)</t>
  </si>
  <si>
    <t>Servicios (luz, gas, agua)</t>
  </si>
  <si>
    <t>Internet / Teléfono</t>
  </si>
  <si>
    <t>▸ Fondo de emergencia:</t>
  </si>
  <si>
    <t>Seguros</t>
  </si>
  <si>
    <t xml:space="preserve">  6 a 12 meses de gastos</t>
  </si>
  <si>
    <t>Cuotas (escuela, gimnasio, etc.)</t>
  </si>
  <si>
    <t xml:space="preserve">  habituales en activos líquidos</t>
  </si>
  <si>
    <t>Total Gastos Fijos</t>
  </si>
  <si>
    <t>▸ Vasos comunicantes:</t>
  </si>
  <si>
    <t xml:space="preserve">  1° Emergencia (liquidez)</t>
  </si>
  <si>
    <t>GASTOS VARIABLES</t>
  </si>
  <si>
    <t xml:space="preserve">  2° Mediano plazo (renta fija)</t>
  </si>
  <si>
    <t>Alimentación</t>
  </si>
  <si>
    <t xml:space="preserve">  3° Largo plazo (renta variable)</t>
  </si>
  <si>
    <t>Transporte</t>
  </si>
  <si>
    <t>Entretenimiento</t>
  </si>
  <si>
    <t>Vestimenta</t>
  </si>
  <si>
    <t>Total Gastos Variables</t>
  </si>
  <si>
    <t>Monto</t>
  </si>
  <si>
    <t>GASTOS EXTRAORDINARIOS</t>
  </si>
  <si>
    <t>Ahorro</t>
  </si>
  <si>
    <t>Reparaciones</t>
  </si>
  <si>
    <t>Gastos Fijos</t>
  </si>
  <si>
    <t>Gastos médicos</t>
  </si>
  <si>
    <t>Gastos Variables</t>
  </si>
  <si>
    <t>Impuestos</t>
  </si>
  <si>
    <t>Gastos Extrao.</t>
  </si>
  <si>
    <t>Microgastos</t>
  </si>
  <si>
    <t>Total Gastos Extraordinarios</t>
  </si>
  <si>
    <t>MICROGASTOS</t>
  </si>
  <si>
    <t>Cafés y snacks</t>
  </si>
  <si>
    <t>Suscripciones</t>
  </si>
  <si>
    <t>Compras impulsivas</t>
  </si>
  <si>
    <t>Delivery / Taxi</t>
  </si>
  <si>
    <t>Total Microgastos</t>
  </si>
  <si>
    <t>RESUMEN</t>
  </si>
  <si>
    <t>Total Gastos</t>
  </si>
  <si>
    <t>BALANCE</t>
  </si>
  <si>
    <t>Ingresos − Ahorro − Gastos  (ideal: $0)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</si>
</sst>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;\(&quot;$&quot;#,##0\);&quot;-&quot;"/>
    <numFmt numFmtId="166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FFFFFF"/>
      <name val="Calibri"/>
      <scheme val="minor"/>
    </font>
    <font>
      <sz val="11"/>
      <color rgb="FF50E3A4"/>
      <name val="Calibri"/>
      <scheme val="minor"/>
    </font>
    <font>
      <i/>
      <sz val="10"/>
      <color rgb="FF8899AA"/>
      <name val="Calibri"/>
      <scheme val="minor"/>
    </font>
    <font>
      <b/>
      <sz val="11"/>
      <color rgb="FF0F1B2D"/>
      <name val="Calibri"/>
      <scheme val="minor"/>
    </font>
    <font>
      <b/>
      <sz val="11"/>
      <color rgb="FFFFFFFF"/>
      <name val="Calibri"/>
      <scheme val="minor"/>
    </font>
    <font>
      <sz val="11"/>
      <color rgb="FF333333"/>
      <name val="Calibri"/>
      <scheme val="minor"/>
    </font>
    <font>
      <b/>
      <sz val="11"/>
      <color theme="1"/>
      <name val="Calibri"/>
      <scheme val="minor"/>
    </font>
    <font>
      <b/>
      <sz val="11"/>
      <color rgb="FF0D4D35"/>
      <name val="Calibri"/>
      <scheme val="minor"/>
    </font>
    <font>
      <sz val="11"/>
      <color rgb="FF999999"/>
      <name val="Calibri"/>
      <scheme val="minor"/>
    </font>
    <font>
      <i/>
      <sz val="11"/>
      <color rgb="FF999999"/>
      <name val="Calibri"/>
      <scheme val="minor"/>
    </font>
    <font>
      <b/>
      <sz val="11"/>
      <color rgb="FF162D50"/>
      <name val="Calibri"/>
      <scheme val="minor"/>
    </font>
    <font>
      <b/>
      <sz val="12"/>
      <color rgb="FF50E3A4"/>
      <name val="Calibri"/>
      <scheme val="minor"/>
    </font>
    <font>
      <b/>
      <sz val="11"/>
      <color rgb="FF8B0000"/>
      <name val="Calibri"/>
      <scheme val="minor"/>
    </font>
    <font>
      <b/>
      <sz val="13"/>
      <color rgb="FF50E3A4"/>
      <name val="Calibri"/>
      <scheme val="minor"/>
    </font>
    <font>
      <b/>
      <sz val="13"/>
      <color rgb="FFFFFFFF"/>
      <name val="Calibri"/>
      <scheme val="minor"/>
    </font>
    <font>
      <i/>
      <sz val="9"/>
      <color rgb="FF8899AA"/>
      <name val="Calibri"/>
      <scheme val="minor"/>
    </font>
    <font>
      <sz val="10"/>
      <color rgb="FF555555"/>
      <name val="Calibri"/>
      <scheme val="minor"/>
    </font>
    <font>
      <b/>
      <sz val="14"/>
      <color rgb="FF0D4D35"/>
      <name val="Calibri"/>
      <scheme val="minor"/>
    </font>
    <font>
      <b/>
      <sz val="14"/>
      <color rgb="FF162D50"/>
      <name val="Calibri"/>
      <scheme val="minor"/>
    </font>
    <font>
      <b/>
      <sz val="14"/>
      <color rgb="FFC44D00"/>
      <name val="Calibri"/>
      <scheme val="minor"/>
    </font>
    <font>
      <b/>
      <sz val="14"/>
      <color rgb="FF0F1B2D"/>
      <name val="Calibri"/>
      <scheme val="minor"/>
    </font>
    <font>
      <b/>
      <sz val="10"/>
      <color rgb="FF0D4D35"/>
      <name val="Calibri"/>
      <scheme val="minor"/>
    </font>
    <font>
      <sz val="10"/>
      <color rgb="FF333333"/>
      <name val="Calibri"/>
      <scheme val="minor"/>
    </font>
    <font>
      <i/>
      <sz val="9"/>
      <color rgb="FF888888"/>
      <name val="Calibri"/>
      <scheme val="minor"/>
    </font>
    <font>
      <i/>
      <sz val="10"/>
      <color rgb="FF333333"/>
      <name val="Calibri"/>
      <scheme val="minor"/>
    </font>
    <font>
      <sz val="9"/>
      <color rgb="FFAABBCC"/>
      <name val="Calibri"/>
      <scheme val="minor"/>
    </font>
    <font>
      <b/>
      <sz val="1"/>
      <color rgb="FFFFFFFF"/>
      <name val="Calibri"/>
      <scheme val="minor"/>
    </font>
    <font>
      <sz val="1"/>
      <color rgb="FFFFFFFF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B2D"/>
        <bgColor indexed="64"/>
      </patternFill>
    </fill>
    <fill>
      <patternFill patternType="solid">
        <fgColor rgb="FF162D50"/>
        <bgColor indexed="64"/>
      </patternFill>
    </fill>
    <fill>
      <patternFill patternType="solid">
        <fgColor rgb="FF0D4D3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CCCCCC"/>
      </top>
      <bottom style="double">
        <color rgb="FF333333"/>
      </bottom>
      <diagonal/>
    </border>
    <border>
      <left/>
      <right/>
      <top/>
      <bottom style="medium">
        <color rgb="FF50E3A4"/>
      </bottom>
      <diagonal/>
    </border>
    <border>
      <left/>
      <right/>
      <top style="medium">
        <color auto="1"/>
      </top>
      <bottom/>
      <diagonal/>
    </border>
    <border>
      <left/>
      <right style="thin">
        <color rgb="FFE0E0E0"/>
      </right>
      <top/>
      <bottom/>
      <diagonal/>
    </border>
    <border>
      <left/>
      <right/>
      <top/>
      <bottom style="thin">
        <color rgb="FF50E3A4"/>
      </bottom>
      <diagonal/>
    </border>
    <border>
      <left/>
      <right/>
      <top/>
      <bottom style="thin">
        <color rgb="FFE8E8E8"/>
      </bottom>
      <diagonal/>
    </border>
    <border>
      <left/>
      <right/>
      <top/>
      <bottom style="double">
        <color rgb="FF333333"/>
      </bottom>
      <diagonal/>
    </border>
    <border>
      <left/>
      <right/>
      <top/>
      <bottom style="thin">
        <color rgb="FFCCDDCC"/>
      </bottom>
      <diagonal/>
    </border>
    <border>
      <left/>
      <right/>
      <top/>
      <bottom style="dotted">
        <color rgb="FFCCDDCC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18" fillId="0" borderId="0" xfId="0" applyFont="1"/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165" fontId="9" fillId="0" borderId="1" xfId="0" applyNumberFormat="1" applyFont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10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2" borderId="0" xfId="0" applyFont="1" applyFill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64" fontId="15" fillId="0" borderId="0" xfId="0" applyNumberFormat="1" applyFont="1" applyAlignment="1">
      <alignment horizontal="center" vertical="center"/>
    </xf>
    <xf numFmtId="0" fontId="16" fillId="2" borderId="3" xfId="0" applyFont="1" applyFill="1" applyBorder="1" applyAlignment="1">
      <alignment vertical="center"/>
    </xf>
    <xf numFmtId="165" fontId="17" fillId="2" borderId="3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5" xfId="0" applyFont="1" applyBorder="1" applyAlignment="1">
      <alignment vertical="center"/>
    </xf>
    <xf numFmtId="0" fontId="19" fillId="0" borderId="0" xfId="0" applyFont="1" applyAlignment="1">
      <alignment vertical="center"/>
    </xf>
    <xf numFmtId="166" fontId="20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164" fontId="9" fillId="0" borderId="7" xfId="0" applyNumberFormat="1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164" fontId="30" fillId="0" borderId="0" xfId="0" applyNumberFormat="1" applyFont="1"/>
    <xf numFmtId="0" fontId="11" fillId="0" borderId="0" xfId="0" applyFont="1" applyAlignment="1" applyProtection="1">
      <alignment vertical="center"/>
      <protection locked="0"/>
    </xf>
    <xf numFmtId="0" fontId="11" fillId="5" borderId="0" xfId="0" applyFont="1" applyFill="1" applyAlignment="1" applyProtection="1">
      <alignment vertical="center"/>
      <protection locked="0"/>
    </xf>
    <xf numFmtId="0" fontId="8" fillId="6" borderId="0" xfId="0" applyFont="1" applyFill="1" applyAlignment="1">
      <alignment vertical="center"/>
    </xf>
    <xf numFmtId="0" fontId="12" fillId="6" borderId="0" xfId="0" applyFont="1" applyFill="1" applyAlignment="1" applyProtection="1">
      <alignment vertical="center"/>
      <protection locked="0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" fillId="2" borderId="0" xfId="0" applyFont="1" applyFill="1"/>
    <xf numFmtId="0" fontId="1" fillId="0" borderId="4" xfId="0" applyFont="1" applyBorder="1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Fill="1" applyAlignment="1" applyProtection="1">
      <alignment vertical="center"/>
      <protection locked="0"/>
    </xf>
    <xf numFmtId="0" fontId="1" fillId="0" borderId="5" xfId="0" applyFont="1" applyBorder="1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0" xfId="0" applyNumberFormat="1" applyFont="1" applyFill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6" borderId="0" xfId="0" applyNumberFormat="1" applyFont="1" applyFill="1" applyAlignment="1" applyProtection="1">
      <alignment horizontal="center" vertical="center"/>
      <protection locked="0"/>
    </xf>
    <xf numFmtId="165" fontId="1" fillId="6" borderId="0" xfId="0" applyNumberFormat="1" applyFont="1" applyFill="1" applyAlignment="1">
      <alignment horizontal="center" vertical="center"/>
    </xf>
    <xf numFmtId="166" fontId="1" fillId="6" borderId="0" xfId="0" applyNumberFormat="1" applyFont="1" applyFill="1" applyAlignment="1">
      <alignment horizontal="center" vertical="center"/>
    </xf>
    <xf numFmtId="164" fontId="1" fillId="6" borderId="8" xfId="0" applyNumberFormat="1" applyFont="1" applyFill="1" applyBorder="1" applyAlignment="1" applyProtection="1">
      <alignment horizontal="center" vertical="center"/>
      <protection locked="0"/>
    </xf>
    <xf numFmtId="0" fontId="1" fillId="4" borderId="0" xfId="0" applyFont="1" applyFill="1"/>
    <xf numFmtId="0" fontId="1" fillId="4" borderId="0" xfId="0" applyFont="1" applyFill="1" applyAlignment="1">
      <alignment vertical="center"/>
    </xf>
    <xf numFmtId="164" fontId="1" fillId="0" borderId="9" xfId="0" applyNumberFormat="1" applyFont="1" applyFill="1" applyBorder="1" applyAlignment="1" applyProtection="1">
      <alignment horizontal="center" vertical="center"/>
      <protection locked="0"/>
    </xf>
    <xf numFmtId="164" fontId="1" fillId="6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vertical="center"/>
    </xf>
  </cellXfs>
  <cellStyles count="1">
    <cellStyle name="Normal" xfId="0" builtinId="0"/>
  </cellStyles>
  <dxfs count="14">
    <dxf>
      <font>
        <color rgb="FFCC0000"/>
      </font>
    </dxf>
    <dxf>
      <font>
        <color rgb="FF0D7D3E"/>
      </font>
    </dxf>
    <dxf>
      <font>
        <color rgb="FFCC0000"/>
      </font>
    </dxf>
    <dxf>
      <font>
        <color rgb="FF0D7D3E"/>
      </font>
    </dxf>
    <dxf>
      <font>
        <color rgb="FFCC0000"/>
      </font>
    </dxf>
    <dxf>
      <font>
        <color rgb="FF0D7D3E"/>
      </font>
    </dxf>
    <dxf>
      <font>
        <color rgb="FFCC0000"/>
      </font>
    </dxf>
    <dxf>
      <font>
        <color rgb="FF0D7D3E"/>
      </font>
    </dxf>
    <dxf>
      <font>
        <color rgb="FFCC0000"/>
      </font>
    </dxf>
    <dxf>
      <font>
        <color rgb="FF0D7D3E"/>
      </font>
    </dxf>
    <dxf>
      <font>
        <color rgb="FFCC0000"/>
      </font>
    </dxf>
    <dxf>
      <font>
        <color rgb="FF0D7D3E"/>
      </font>
    </dxf>
    <dxf>
      <font>
        <color rgb="FF50E3A4"/>
      </font>
    </dxf>
    <dxf>
      <font>
        <color rgb="FFFF444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0F1B2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del Ingreso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0F1B2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Presupuesto!$J$37</c:f>
              <c:strCache>
                <c:ptCount val="1"/>
                <c:pt idx="0">
                  <c:v>Monto</c:v>
                </c:pt>
              </c:strCache>
            </c:strRef>
          </c:tx>
          <c:spPr>
            <a:noFill/>
          </c:spPr>
          <c:dPt>
            <c:idx val="0"/>
            <c:bubble3D val="0"/>
            <c:spPr>
              <a:solidFill>
                <a:srgbClr val="50E3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1A-4975-9014-939944352637}"/>
              </c:ext>
            </c:extLst>
          </c:dPt>
          <c:dPt>
            <c:idx val="1"/>
            <c:bubble3D val="0"/>
            <c:spPr>
              <a:solidFill>
                <a:srgbClr val="162D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A1A-4975-9014-939944352637}"/>
              </c:ext>
            </c:extLst>
          </c:dPt>
          <c:dPt>
            <c:idx val="2"/>
            <c:bubble3D val="0"/>
            <c:spPr>
              <a:solidFill>
                <a:srgbClr val="3A6B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1A-4975-9014-939944352637}"/>
              </c:ext>
            </c:extLst>
          </c:dPt>
          <c:dPt>
            <c:idx val="3"/>
            <c:bubble3D val="0"/>
            <c:spPr>
              <a:solidFill>
                <a:srgbClr val="6B98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A1A-4975-9014-939944352637}"/>
              </c:ext>
            </c:extLst>
          </c:dPt>
          <c:dPt>
            <c:idx val="4"/>
            <c:bubble3D val="0"/>
            <c:spPr>
              <a:solidFill>
                <a:srgbClr val="E894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1A-4975-9014-9399443526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33333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Presupuesto!$I$38:$I$42</c:f>
              <c:strCache>
                <c:ptCount val="5"/>
                <c:pt idx="0">
                  <c:v>Ahorro</c:v>
                </c:pt>
                <c:pt idx="1">
                  <c:v>Gastos Fijos</c:v>
                </c:pt>
                <c:pt idx="2">
                  <c:v>Gastos Variables</c:v>
                </c:pt>
                <c:pt idx="3">
                  <c:v>Gastos Extrao.</c:v>
                </c:pt>
                <c:pt idx="4">
                  <c:v>Microgastos</c:v>
                </c:pt>
              </c:strCache>
            </c:strRef>
          </c:cat>
          <c:val>
            <c:numRef>
              <c:f>Presupuesto!$J$38:$J$42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A-4975-9014-939944352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rgbClr val="555555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43</xdr:row>
      <xdr:rowOff>0</xdr:rowOff>
    </xdr:from>
    <xdr:to>
      <xdr:col>11</xdr:col>
      <xdr:colOff>0</xdr:colOff>
      <xdr:row>58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7005C6-3591-4C9A-61A5-A98357EDC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1447799</xdr:colOff>
      <xdr:row>0</xdr:row>
      <xdr:rowOff>237067</xdr:rowOff>
    </xdr:from>
    <xdr:to>
      <xdr:col>5</xdr:col>
      <xdr:colOff>1056215</xdr:colOff>
      <xdr:row>1</xdr:row>
      <xdr:rowOff>106015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55C482-5B3A-D9F0-E910-5700900B3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8799" y="237067"/>
          <a:ext cx="2910416" cy="5716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607798-2E21-4D5A-9C7D-D9515C67F8C4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8d1f3764-9450-45c1-aa88-3944bdaef6b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EE2D2-FFA7-4255-B185-186D01FA035D}">
  <dimension ref="A1:J62"/>
  <sheetViews>
    <sheetView tabSelected="1" zoomScale="75" zoomScaleNormal="75" workbookViewId="0">
      <pane ySplit="6" topLeftCell="A7" activePane="bottomLeft" state="frozen"/>
      <selection pane="bottomLeft" activeCell="B59" sqref="B59"/>
    </sheetView>
  </sheetViews>
  <sheetFormatPr defaultColWidth="11.42578125" defaultRowHeight="14.45" outlineLevelRow="1"/>
  <cols>
    <col min="1" max="1" width="9.140625" style="1" customWidth="1"/>
    <col min="2" max="2" width="45.42578125" style="1" customWidth="1"/>
    <col min="3" max="5" width="23.5703125" style="1" customWidth="1"/>
    <col min="6" max="6" width="20" style="1" customWidth="1"/>
    <col min="7" max="7" width="3.5703125" style="1" customWidth="1"/>
    <col min="8" max="8" width="2.7109375" style="1" customWidth="1"/>
    <col min="9" max="9" width="32.7109375" style="1" customWidth="1"/>
    <col min="10" max="10" width="23.5703125" style="1" customWidth="1"/>
  </cols>
  <sheetData>
    <row r="1" spans="1:10" ht="54.95" customHeight="1">
      <c r="A1" s="46"/>
      <c r="B1" s="43" t="s">
        <v>0</v>
      </c>
      <c r="C1" s="43"/>
      <c r="D1" s="43"/>
      <c r="E1" s="43"/>
      <c r="F1" s="43"/>
      <c r="G1" s="47"/>
      <c r="H1" s="48"/>
      <c r="I1"/>
      <c r="J1" s="23"/>
    </row>
    <row r="2" spans="1:10" ht="20.100000000000001" customHeight="1">
      <c r="A2" s="46"/>
      <c r="B2" s="44" t="s">
        <v>1</v>
      </c>
      <c r="C2" s="44"/>
      <c r="D2" s="44"/>
      <c r="E2" s="44"/>
      <c r="F2" s="44"/>
      <c r="G2" s="47"/>
      <c r="H2" s="48"/>
      <c r="I2" s="23"/>
      <c r="J2" s="23"/>
    </row>
    <row r="3" spans="1:10" ht="20.100000000000001" customHeight="1">
      <c r="A3" s="46"/>
      <c r="B3" s="45" t="s">
        <v>2</v>
      </c>
      <c r="C3" s="45"/>
      <c r="D3" s="45"/>
      <c r="E3" s="45"/>
      <c r="F3" s="45"/>
      <c r="G3" s="47"/>
      <c r="H3" s="48"/>
      <c r="I3" s="23"/>
      <c r="J3" s="23"/>
    </row>
    <row r="4" spans="1:10" ht="20.100000000000001" customHeight="1">
      <c r="A4" s="48"/>
      <c r="B4" s="49"/>
      <c r="C4" s="49"/>
      <c r="D4" s="49"/>
      <c r="E4" s="49"/>
      <c r="F4" s="49"/>
      <c r="G4" s="47"/>
      <c r="H4" s="48"/>
      <c r="I4" s="49"/>
      <c r="J4" s="49"/>
    </row>
    <row r="5" spans="1:10" ht="20.100000000000001" customHeight="1">
      <c r="A5" s="48"/>
      <c r="B5" s="3" t="s">
        <v>3</v>
      </c>
      <c r="C5" s="50"/>
      <c r="D5" s="49"/>
      <c r="E5" s="49"/>
      <c r="F5" s="49"/>
      <c r="G5" s="47"/>
      <c r="H5" s="48"/>
      <c r="I5" s="24" t="s">
        <v>4</v>
      </c>
      <c r="J5" s="51"/>
    </row>
    <row r="6" spans="1:10" ht="24.6" customHeight="1" thickBot="1">
      <c r="A6" s="48"/>
      <c r="B6" s="4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47"/>
      <c r="H6" s="48"/>
      <c r="I6" s="49"/>
      <c r="J6" s="49"/>
    </row>
    <row r="7" spans="1:10" ht="20.100000000000001" customHeight="1">
      <c r="A7" s="48"/>
      <c r="B7" s="49"/>
      <c r="C7" s="49"/>
      <c r="D7" s="49"/>
      <c r="E7" s="49"/>
      <c r="F7" s="49"/>
      <c r="G7" s="47"/>
      <c r="H7" s="48"/>
      <c r="I7" s="25" t="s">
        <v>10</v>
      </c>
      <c r="J7" s="26">
        <f>IFERROR(D19/D13,0)</f>
        <v>0</v>
      </c>
    </row>
    <row r="8" spans="1:10" ht="24.6" customHeight="1">
      <c r="A8" s="52"/>
      <c r="B8" s="6" t="s">
        <v>11</v>
      </c>
      <c r="C8" s="53"/>
      <c r="D8" s="53"/>
      <c r="E8" s="53"/>
      <c r="F8" s="53"/>
      <c r="G8" s="47"/>
      <c r="H8" s="48"/>
      <c r="I8" s="54"/>
      <c r="J8" s="54"/>
    </row>
    <row r="9" spans="1:10" ht="17.100000000000001" customHeight="1">
      <c r="A9" s="48"/>
      <c r="B9" s="7" t="s">
        <v>12</v>
      </c>
      <c r="C9" s="55"/>
      <c r="D9" s="55"/>
      <c r="E9" s="56" t="str">
        <f>IF(AND(C9=0,D9=0),"",D9-C9)</f>
        <v/>
      </c>
      <c r="F9" s="57" t="str">
        <f>IFERROR(D9/$D$13,"")</f>
        <v/>
      </c>
      <c r="G9" s="47"/>
      <c r="H9" s="48"/>
      <c r="I9" s="25" t="s">
        <v>13</v>
      </c>
      <c r="J9" s="27">
        <f>IFERROR(D28/D13,0)</f>
        <v>0</v>
      </c>
    </row>
    <row r="10" spans="1:10" ht="17.100000000000001" customHeight="1">
      <c r="A10" s="48"/>
      <c r="B10" s="41" t="s">
        <v>14</v>
      </c>
      <c r="C10" s="58"/>
      <c r="D10" s="58"/>
      <c r="E10" s="59" t="str">
        <f>IF(AND(C10=0,D10=0),"",D10-C10)</f>
        <v/>
      </c>
      <c r="F10" s="60" t="str">
        <f>IFERROR(D10/$D$13,"")</f>
        <v/>
      </c>
      <c r="G10" s="47"/>
      <c r="H10" s="48"/>
      <c r="I10" s="54"/>
      <c r="J10" s="54"/>
    </row>
    <row r="11" spans="1:10" ht="17.100000000000001" customHeight="1">
      <c r="A11" s="48"/>
      <c r="B11" s="7" t="s">
        <v>15</v>
      </c>
      <c r="C11" s="55"/>
      <c r="D11" s="55"/>
      <c r="E11" s="56" t="str">
        <f>IF(AND(C11=0,D11=0),"",D11-C11)</f>
        <v/>
      </c>
      <c r="F11" s="57" t="str">
        <f>IFERROR(D11/$D$13,"")</f>
        <v/>
      </c>
      <c r="G11" s="47"/>
      <c r="H11" s="48"/>
      <c r="I11" s="25" t="s">
        <v>16</v>
      </c>
      <c r="J11" s="27">
        <f>IFERROR(D36/D13,0)</f>
        <v>0</v>
      </c>
    </row>
    <row r="12" spans="1:10" ht="17.100000000000001" customHeight="1">
      <c r="A12" s="48"/>
      <c r="B12" s="41" t="s">
        <v>17</v>
      </c>
      <c r="C12" s="61"/>
      <c r="D12" s="61"/>
      <c r="E12" s="59" t="str">
        <f>IF(AND(C12=0,D12=0),"",D12-C12)</f>
        <v/>
      </c>
      <c r="F12" s="60" t="str">
        <f>IFERROR(D12/$D$13,"")</f>
        <v/>
      </c>
      <c r="G12" s="47"/>
      <c r="H12" s="48"/>
      <c r="I12" s="54"/>
      <c r="J12" s="54"/>
    </row>
    <row r="13" spans="1:10" ht="17.100000000000001" customHeight="1" thickBot="1">
      <c r="A13" s="48"/>
      <c r="B13" s="8" t="s">
        <v>18</v>
      </c>
      <c r="C13" s="34">
        <f>SUM(C9:C12)</f>
        <v>0</v>
      </c>
      <c r="D13" s="34">
        <f>SUM(D9:D12)</f>
        <v>0</v>
      </c>
      <c r="E13" s="9" t="str">
        <f>IF(AND(C13=0,D13=0),"",D13-C13)</f>
        <v/>
      </c>
      <c r="F13" s="10" t="str">
        <f>IFERROR(D13/$D$13,"")</f>
        <v/>
      </c>
      <c r="G13" s="47"/>
      <c r="H13" s="48"/>
      <c r="I13" s="25" t="s">
        <v>19</v>
      </c>
      <c r="J13" s="28">
        <f>IFERROR(D51/D13,0)</f>
        <v>0</v>
      </c>
    </row>
    <row r="14" spans="1:10" ht="17.100000000000001" customHeight="1" thickTop="1">
      <c r="A14" s="48"/>
      <c r="B14" s="49"/>
      <c r="C14" s="49"/>
      <c r="D14" s="49"/>
      <c r="E14" s="49"/>
      <c r="F14" s="49"/>
      <c r="G14" s="47"/>
      <c r="H14" s="48"/>
      <c r="I14" s="54"/>
      <c r="J14" s="54"/>
    </row>
    <row r="15" spans="1:10" ht="24.6" customHeight="1">
      <c r="A15" s="62"/>
      <c r="B15" s="11" t="s">
        <v>20</v>
      </c>
      <c r="C15" s="63"/>
      <c r="D15" s="63"/>
      <c r="E15" s="63"/>
      <c r="F15" s="63"/>
      <c r="G15" s="47"/>
      <c r="H15" s="48"/>
      <c r="I15" s="25" t="s">
        <v>21</v>
      </c>
      <c r="J15" s="29">
        <f>D13-D19</f>
        <v>0</v>
      </c>
    </row>
    <row r="16" spans="1:10" ht="17.100000000000001" customHeight="1">
      <c r="A16" s="48"/>
      <c r="B16" s="7" t="s">
        <v>22</v>
      </c>
      <c r="C16" s="55"/>
      <c r="D16" s="55"/>
      <c r="E16" s="56" t="str">
        <f>IF(AND(C16=0,D16=0),"",D16-C16)</f>
        <v/>
      </c>
      <c r="F16" s="57" t="str">
        <f>IFERROR(D16/$D$13,"")</f>
        <v/>
      </c>
      <c r="G16" s="47"/>
      <c r="H16" s="48"/>
      <c r="I16" s="49"/>
      <c r="J16" s="49"/>
    </row>
    <row r="17" spans="1:10" ht="17.100000000000001" customHeight="1">
      <c r="A17" s="48"/>
      <c r="B17" s="41" t="s">
        <v>23</v>
      </c>
      <c r="C17" s="58"/>
      <c r="D17" s="58"/>
      <c r="E17" s="59" t="str">
        <f>IF(AND(C17=0,D17=0),"",D17-C17)</f>
        <v/>
      </c>
      <c r="F17" s="60" t="str">
        <f>IFERROR(D17/$D$13,"")</f>
        <v/>
      </c>
      <c r="G17" s="47"/>
      <c r="H17" s="48"/>
      <c r="I17" s="49"/>
      <c r="J17" s="49"/>
    </row>
    <row r="18" spans="1:10" ht="17.100000000000001" customHeight="1">
      <c r="A18" s="48"/>
      <c r="B18" s="7" t="s">
        <v>24</v>
      </c>
      <c r="C18" s="64"/>
      <c r="D18" s="64"/>
      <c r="E18" s="56" t="str">
        <f>IF(AND(C18=0,D18=0),"",D18-C18)</f>
        <v/>
      </c>
      <c r="F18" s="57" t="str">
        <f>IFERROR(D18/$D$13,"")</f>
        <v/>
      </c>
      <c r="G18" s="47"/>
      <c r="H18" s="48"/>
      <c r="I18" s="24" t="s">
        <v>25</v>
      </c>
      <c r="J18" s="51"/>
    </row>
    <row r="19" spans="1:10" ht="17.100000000000001" customHeight="1" thickBot="1">
      <c r="A19" s="48"/>
      <c r="B19" s="12" t="s">
        <v>26</v>
      </c>
      <c r="C19" s="34">
        <f>SUM(C16:C18)</f>
        <v>0</v>
      </c>
      <c r="D19" s="34">
        <f>SUM(D16:D18)</f>
        <v>0</v>
      </c>
      <c r="E19" s="9" t="str">
        <f>IF(AND(C19=0,D19=0),"",D19-C19)</f>
        <v/>
      </c>
      <c r="F19" s="10" t="str">
        <f>IFERROR(D19/$D$13,"")</f>
        <v/>
      </c>
      <c r="G19" s="47"/>
      <c r="H19" s="48"/>
      <c r="I19" s="49"/>
      <c r="J19" s="49"/>
    </row>
    <row r="20" spans="1:10" ht="17.100000000000001" customHeight="1" thickTop="1">
      <c r="A20" s="48"/>
      <c r="B20" s="49"/>
      <c r="C20" s="49"/>
      <c r="D20" s="49"/>
      <c r="E20" s="49"/>
      <c r="F20" s="49"/>
      <c r="G20" s="47"/>
      <c r="H20" s="48"/>
      <c r="I20" s="30" t="s">
        <v>27</v>
      </c>
      <c r="J20" s="49"/>
    </row>
    <row r="21" spans="1:10" ht="24.6" customHeight="1">
      <c r="A21" s="52"/>
      <c r="B21" s="6" t="s">
        <v>28</v>
      </c>
      <c r="C21" s="53"/>
      <c r="D21" s="53"/>
      <c r="E21" s="53"/>
      <c r="F21" s="53"/>
      <c r="G21" s="47"/>
      <c r="H21" s="48"/>
      <c r="I21" s="31" t="s">
        <v>29</v>
      </c>
      <c r="J21" s="49"/>
    </row>
    <row r="22" spans="1:10" ht="17.100000000000001" customHeight="1">
      <c r="A22" s="48"/>
      <c r="B22" s="7" t="s">
        <v>30</v>
      </c>
      <c r="C22" s="55"/>
      <c r="D22" s="55"/>
      <c r="E22" s="56" t="str">
        <f t="shared" ref="E22:E28" si="0">IF(AND(C22=0,D22=0),"",C22-D22)</f>
        <v/>
      </c>
      <c r="F22" s="57" t="str">
        <f t="shared" ref="F22:F28" si="1">IFERROR(D22/$D$13,"")</f>
        <v/>
      </c>
      <c r="G22" s="47"/>
      <c r="H22" s="48"/>
      <c r="I22" s="32" t="s">
        <v>31</v>
      </c>
      <c r="J22" s="49"/>
    </row>
    <row r="23" spans="1:10" ht="17.100000000000001" customHeight="1">
      <c r="A23" s="48"/>
      <c r="B23" s="41" t="s">
        <v>32</v>
      </c>
      <c r="C23" s="58"/>
      <c r="D23" s="58"/>
      <c r="E23" s="59" t="str">
        <f t="shared" si="0"/>
        <v/>
      </c>
      <c r="F23" s="60" t="str">
        <f t="shared" si="1"/>
        <v/>
      </c>
      <c r="G23" s="47"/>
      <c r="H23" s="48"/>
      <c r="I23" s="49"/>
      <c r="J23" s="49"/>
    </row>
    <row r="24" spans="1:10" ht="17.100000000000001" customHeight="1">
      <c r="A24" s="48"/>
      <c r="B24" s="7" t="s">
        <v>33</v>
      </c>
      <c r="C24" s="55"/>
      <c r="D24" s="55"/>
      <c r="E24" s="56" t="str">
        <f t="shared" si="0"/>
        <v/>
      </c>
      <c r="F24" s="57" t="str">
        <f t="shared" si="1"/>
        <v/>
      </c>
      <c r="G24" s="47"/>
      <c r="H24" s="48"/>
      <c r="I24" s="30" t="s">
        <v>34</v>
      </c>
      <c r="J24" s="49"/>
    </row>
    <row r="25" spans="1:10" ht="17.100000000000001" customHeight="1">
      <c r="A25" s="48"/>
      <c r="B25" s="41" t="s">
        <v>35</v>
      </c>
      <c r="C25" s="58"/>
      <c r="D25" s="58"/>
      <c r="E25" s="59" t="str">
        <f t="shared" si="0"/>
        <v/>
      </c>
      <c r="F25" s="60" t="str">
        <f t="shared" si="1"/>
        <v/>
      </c>
      <c r="G25" s="47"/>
      <c r="H25" s="48"/>
      <c r="I25" s="31" t="s">
        <v>36</v>
      </c>
      <c r="J25" s="49"/>
    </row>
    <row r="26" spans="1:10" ht="17.100000000000001" customHeight="1">
      <c r="A26" s="48"/>
      <c r="B26" s="7" t="s">
        <v>37</v>
      </c>
      <c r="C26" s="55"/>
      <c r="D26" s="55"/>
      <c r="E26" s="56" t="str">
        <f t="shared" si="0"/>
        <v/>
      </c>
      <c r="F26" s="57" t="str">
        <f t="shared" si="1"/>
        <v/>
      </c>
      <c r="G26" s="47"/>
      <c r="H26" s="48"/>
      <c r="I26" s="31" t="s">
        <v>38</v>
      </c>
      <c r="J26" s="49"/>
    </row>
    <row r="27" spans="1:10" ht="17.100000000000001" customHeight="1">
      <c r="A27" s="48"/>
      <c r="B27" s="42"/>
      <c r="C27" s="65"/>
      <c r="D27" s="65"/>
      <c r="E27" s="59" t="str">
        <f t="shared" si="0"/>
        <v/>
      </c>
      <c r="F27" s="60" t="str">
        <f t="shared" si="1"/>
        <v/>
      </c>
      <c r="G27" s="47"/>
      <c r="H27" s="48"/>
      <c r="I27" s="49"/>
      <c r="J27" s="49"/>
    </row>
    <row r="28" spans="1:10" ht="17.100000000000001" customHeight="1" thickBot="1">
      <c r="A28" s="48"/>
      <c r="B28" s="13" t="s">
        <v>39</v>
      </c>
      <c r="C28" s="34">
        <f>SUM(C22:C27)</f>
        <v>0</v>
      </c>
      <c r="D28" s="34">
        <f>SUM(D22:D27)</f>
        <v>0</v>
      </c>
      <c r="E28" s="9" t="str">
        <f t="shared" si="0"/>
        <v/>
      </c>
      <c r="F28" s="10" t="str">
        <f t="shared" si="1"/>
        <v/>
      </c>
      <c r="G28" s="47"/>
      <c r="H28" s="48"/>
      <c r="I28" s="30" t="s">
        <v>40</v>
      </c>
      <c r="J28" s="49"/>
    </row>
    <row r="29" spans="1:10" ht="17.100000000000001" customHeight="1" thickTop="1">
      <c r="A29" s="48"/>
      <c r="B29" s="49"/>
      <c r="C29" s="49"/>
      <c r="D29" s="49"/>
      <c r="E29" s="49"/>
      <c r="F29" s="49"/>
      <c r="G29" s="47"/>
      <c r="H29" s="48"/>
      <c r="I29" s="31" t="s">
        <v>41</v>
      </c>
      <c r="J29" s="49"/>
    </row>
    <row r="30" spans="1:10" ht="24.6" customHeight="1">
      <c r="A30" s="52"/>
      <c r="B30" s="6" t="s">
        <v>42</v>
      </c>
      <c r="C30" s="53"/>
      <c r="D30" s="53"/>
      <c r="E30" s="53"/>
      <c r="F30" s="53"/>
      <c r="G30" s="47"/>
      <c r="H30" s="48"/>
      <c r="I30" s="31" t="s">
        <v>43</v>
      </c>
      <c r="J30" s="49"/>
    </row>
    <row r="31" spans="1:10" ht="17.100000000000001" customHeight="1">
      <c r="A31" s="48"/>
      <c r="B31" s="7" t="s">
        <v>44</v>
      </c>
      <c r="C31" s="55"/>
      <c r="D31" s="55"/>
      <c r="E31" s="56" t="str">
        <f t="shared" ref="E31:E36" si="2">IF(AND(C31=0,D31=0),"",C31-D31)</f>
        <v/>
      </c>
      <c r="F31" s="57" t="str">
        <f t="shared" ref="F31:F36" si="3">IFERROR(D31/$D$13,"")</f>
        <v/>
      </c>
      <c r="G31" s="47"/>
      <c r="H31" s="48"/>
      <c r="I31" s="31" t="s">
        <v>45</v>
      </c>
      <c r="J31" s="49"/>
    </row>
    <row r="32" spans="1:10" ht="17.100000000000001" customHeight="1">
      <c r="A32" s="48"/>
      <c r="B32" s="41" t="s">
        <v>46</v>
      </c>
      <c r="C32" s="58"/>
      <c r="D32" s="58"/>
      <c r="E32" s="59" t="str">
        <f t="shared" si="2"/>
        <v/>
      </c>
      <c r="F32" s="60" t="str">
        <f t="shared" si="3"/>
        <v/>
      </c>
      <c r="G32" s="47"/>
      <c r="H32" s="48"/>
      <c r="I32" s="49"/>
      <c r="J32" s="49"/>
    </row>
    <row r="33" spans="1:10" ht="17.100000000000001" customHeight="1">
      <c r="A33" s="48"/>
      <c r="B33" s="7" t="s">
        <v>47</v>
      </c>
      <c r="C33" s="55"/>
      <c r="D33" s="55"/>
      <c r="E33" s="56" t="str">
        <f t="shared" si="2"/>
        <v/>
      </c>
      <c r="F33" s="57" t="str">
        <f t="shared" si="3"/>
        <v/>
      </c>
      <c r="G33" s="47"/>
      <c r="H33" s="48"/>
      <c r="I33" s="30"/>
      <c r="J33" s="49"/>
    </row>
    <row r="34" spans="1:10" ht="17.100000000000001" customHeight="1">
      <c r="A34" s="48"/>
      <c r="B34" s="41" t="s">
        <v>48</v>
      </c>
      <c r="C34" s="58"/>
      <c r="D34" s="58"/>
      <c r="E34" s="59" t="str">
        <f t="shared" si="2"/>
        <v/>
      </c>
      <c r="F34" s="60" t="str">
        <f t="shared" si="3"/>
        <v/>
      </c>
      <c r="G34" s="47"/>
      <c r="H34" s="48"/>
      <c r="I34" s="33"/>
      <c r="J34" s="49"/>
    </row>
    <row r="35" spans="1:10" ht="17.100000000000001" customHeight="1">
      <c r="A35" s="48"/>
      <c r="B35" s="39"/>
      <c r="C35" s="64"/>
      <c r="D35" s="64"/>
      <c r="E35" s="56" t="str">
        <f t="shared" si="2"/>
        <v/>
      </c>
      <c r="F35" s="57" t="str">
        <f t="shared" si="3"/>
        <v/>
      </c>
      <c r="G35" s="47"/>
      <c r="H35" s="48"/>
      <c r="I35" s="48"/>
      <c r="J35" s="48"/>
    </row>
    <row r="36" spans="1:10" ht="17.100000000000001" customHeight="1" thickBot="1">
      <c r="A36" s="48"/>
      <c r="B36" s="13" t="s">
        <v>49</v>
      </c>
      <c r="C36" s="34">
        <f>SUM(C31:C35)</f>
        <v>0</v>
      </c>
      <c r="D36" s="34">
        <f>SUM(D31:D35)</f>
        <v>0</v>
      </c>
      <c r="E36" s="9" t="str">
        <f t="shared" si="2"/>
        <v/>
      </c>
      <c r="F36" s="10" t="str">
        <f t="shared" si="3"/>
        <v/>
      </c>
      <c r="G36" s="47"/>
      <c r="H36" s="48"/>
      <c r="I36" s="48"/>
      <c r="J36" s="48"/>
    </row>
    <row r="37" spans="1:10" ht="17.100000000000001" customHeight="1" outlineLevel="1" thickTop="1">
      <c r="A37" s="48"/>
      <c r="B37" s="49"/>
      <c r="C37" s="49"/>
      <c r="D37" s="49"/>
      <c r="E37" s="49"/>
      <c r="F37" s="49"/>
      <c r="G37" s="47"/>
      <c r="H37" s="48"/>
      <c r="I37" s="36" t="s">
        <v>5</v>
      </c>
      <c r="J37" s="36" t="s">
        <v>50</v>
      </c>
    </row>
    <row r="38" spans="1:10" ht="24.6" customHeight="1" outlineLevel="1">
      <c r="A38" s="52"/>
      <c r="B38" s="6" t="s">
        <v>51</v>
      </c>
      <c r="C38" s="53"/>
      <c r="D38" s="53"/>
      <c r="E38" s="53"/>
      <c r="F38" s="53"/>
      <c r="G38" s="47"/>
      <c r="H38" s="48"/>
      <c r="I38" s="37" t="s">
        <v>52</v>
      </c>
      <c r="J38" s="38">
        <f>D19</f>
        <v>0</v>
      </c>
    </row>
    <row r="39" spans="1:10" ht="17.100000000000001" customHeight="1" outlineLevel="1">
      <c r="A39" s="48"/>
      <c r="B39" s="7" t="s">
        <v>53</v>
      </c>
      <c r="C39" s="55"/>
      <c r="D39" s="55"/>
      <c r="E39" s="56" t="str">
        <f>IF(AND(C39=0,D39=0),"",C39-D39)</f>
        <v/>
      </c>
      <c r="F39" s="57" t="str">
        <f>IFERROR(D39/$D$13,"")</f>
        <v/>
      </c>
      <c r="G39" s="47"/>
      <c r="H39" s="48"/>
      <c r="I39" s="37" t="s">
        <v>54</v>
      </c>
      <c r="J39" s="38">
        <f>D28</f>
        <v>0</v>
      </c>
    </row>
    <row r="40" spans="1:10" ht="17.100000000000001" customHeight="1" outlineLevel="1">
      <c r="A40" s="48"/>
      <c r="B40" s="41" t="s">
        <v>55</v>
      </c>
      <c r="C40" s="58"/>
      <c r="D40" s="58"/>
      <c r="E40" s="59" t="str">
        <f>IF(AND(C40=0,D40=0),"",C40-D40)</f>
        <v/>
      </c>
      <c r="F40" s="60" t="str">
        <f>IFERROR(D40/$D$13,"")</f>
        <v/>
      </c>
      <c r="G40" s="47"/>
      <c r="H40" s="48"/>
      <c r="I40" s="37" t="s">
        <v>56</v>
      </c>
      <c r="J40" s="38">
        <f>D36</f>
        <v>0</v>
      </c>
    </row>
    <row r="41" spans="1:10" ht="17.100000000000001" customHeight="1" outlineLevel="1">
      <c r="A41" s="48"/>
      <c r="B41" s="7" t="s">
        <v>57</v>
      </c>
      <c r="C41" s="55"/>
      <c r="D41" s="55"/>
      <c r="E41" s="56" t="str">
        <f>IF(AND(C41=0,D41=0),"",C41-D41)</f>
        <v/>
      </c>
      <c r="F41" s="57" t="str">
        <f>IFERROR(D41/$D$13,"")</f>
        <v/>
      </c>
      <c r="G41" s="47"/>
      <c r="H41" s="48"/>
      <c r="I41" s="37" t="s">
        <v>58</v>
      </c>
      <c r="J41" s="38">
        <f>D43</f>
        <v>0</v>
      </c>
    </row>
    <row r="42" spans="1:10" ht="17.100000000000001" customHeight="1" outlineLevel="1">
      <c r="A42" s="48"/>
      <c r="B42" s="40"/>
      <c r="C42" s="64"/>
      <c r="D42" s="64"/>
      <c r="E42" s="56" t="str">
        <f>IF(AND(C42=0,D42=0),"",C42-D42)</f>
        <v/>
      </c>
      <c r="F42" s="57" t="str">
        <f>IFERROR(D42/$D$13,"")</f>
        <v/>
      </c>
      <c r="G42" s="47"/>
      <c r="H42" s="48"/>
      <c r="I42" s="37" t="s">
        <v>59</v>
      </c>
      <c r="J42" s="38">
        <f>D51</f>
        <v>0</v>
      </c>
    </row>
    <row r="43" spans="1:10" ht="17.100000000000001" customHeight="1" thickBot="1">
      <c r="A43" s="48"/>
      <c r="B43" s="13" t="s">
        <v>60</v>
      </c>
      <c r="C43" s="34">
        <f>SUM(C39:C42)</f>
        <v>0</v>
      </c>
      <c r="D43" s="34">
        <f>SUM(D39:D42)</f>
        <v>0</v>
      </c>
      <c r="E43" s="9" t="str">
        <f>IF(AND(C43=0,D43=0),"",C43-D43)</f>
        <v/>
      </c>
      <c r="F43" s="10" t="str">
        <f>IFERROR(D43/$D$13,"")</f>
        <v/>
      </c>
      <c r="G43" s="47"/>
      <c r="H43" s="48"/>
      <c r="I43" s="48"/>
      <c r="J43" s="48"/>
    </row>
    <row r="44" spans="1:10" ht="17.100000000000001" customHeight="1" thickTop="1">
      <c r="A44" s="48"/>
      <c r="B44" s="49"/>
      <c r="C44" s="49"/>
      <c r="D44" s="49"/>
      <c r="E44" s="49"/>
      <c r="F44" s="49"/>
      <c r="G44" s="47"/>
      <c r="H44" s="48"/>
      <c r="I44" s="48"/>
      <c r="J44" s="48"/>
    </row>
    <row r="45" spans="1:10" ht="24.6" customHeight="1">
      <c r="A45" s="52"/>
      <c r="B45" s="6" t="s">
        <v>61</v>
      </c>
      <c r="C45" s="53"/>
      <c r="D45" s="53"/>
      <c r="E45" s="53"/>
      <c r="F45" s="53"/>
      <c r="G45" s="47"/>
      <c r="H45" s="48"/>
      <c r="I45" s="48"/>
      <c r="J45" s="48"/>
    </row>
    <row r="46" spans="1:10" ht="17.100000000000001" customHeight="1">
      <c r="A46" s="48"/>
      <c r="B46" s="7" t="s">
        <v>62</v>
      </c>
      <c r="C46" s="55"/>
      <c r="D46" s="55"/>
      <c r="E46" s="56" t="str">
        <f t="shared" ref="E46:E51" si="4">IF(AND(C46=0,D46=0),"",C46-D46)</f>
        <v/>
      </c>
      <c r="F46" s="57" t="str">
        <f t="shared" ref="F46:F51" si="5">IFERROR(D46/$D$13,"")</f>
        <v/>
      </c>
      <c r="G46" s="47"/>
      <c r="H46" s="48"/>
      <c r="I46" s="48"/>
      <c r="J46" s="48"/>
    </row>
    <row r="47" spans="1:10" ht="17.100000000000001" customHeight="1">
      <c r="A47" s="48"/>
      <c r="B47" s="41" t="s">
        <v>63</v>
      </c>
      <c r="C47" s="58"/>
      <c r="D47" s="58"/>
      <c r="E47" s="59" t="str">
        <f t="shared" si="4"/>
        <v/>
      </c>
      <c r="F47" s="60" t="str">
        <f t="shared" si="5"/>
        <v/>
      </c>
      <c r="G47" s="47"/>
      <c r="H47" s="48"/>
      <c r="I47" s="48"/>
      <c r="J47" s="48"/>
    </row>
    <row r="48" spans="1:10" ht="17.100000000000001" customHeight="1">
      <c r="A48" s="48"/>
      <c r="B48" s="7" t="s">
        <v>64</v>
      </c>
      <c r="C48" s="55"/>
      <c r="D48" s="55"/>
      <c r="E48" s="56" t="str">
        <f t="shared" si="4"/>
        <v/>
      </c>
      <c r="F48" s="57" t="str">
        <f t="shared" si="5"/>
        <v/>
      </c>
      <c r="G48" s="47"/>
      <c r="H48" s="48"/>
      <c r="I48" s="48"/>
      <c r="J48" s="48"/>
    </row>
    <row r="49" spans="1:7" ht="17.100000000000001" customHeight="1">
      <c r="A49" s="48"/>
      <c r="B49" s="41" t="s">
        <v>65</v>
      </c>
      <c r="C49" s="58"/>
      <c r="D49" s="58"/>
      <c r="E49" s="59" t="str">
        <f t="shared" si="4"/>
        <v/>
      </c>
      <c r="F49" s="60" t="str">
        <f t="shared" si="5"/>
        <v/>
      </c>
      <c r="G49" s="47"/>
    </row>
    <row r="50" spans="1:7" ht="17.100000000000001" customHeight="1">
      <c r="A50" s="48"/>
      <c r="B50" s="39"/>
      <c r="C50" s="64"/>
      <c r="D50" s="64"/>
      <c r="E50" s="56" t="str">
        <f t="shared" si="4"/>
        <v/>
      </c>
      <c r="F50" s="57" t="str">
        <f t="shared" si="5"/>
        <v/>
      </c>
      <c r="G50" s="47"/>
    </row>
    <row r="51" spans="1:7" ht="17.100000000000001" customHeight="1" thickBot="1">
      <c r="A51" s="48"/>
      <c r="B51" s="13" t="s">
        <v>66</v>
      </c>
      <c r="C51" s="34">
        <f>SUM(C46:C50)</f>
        <v>0</v>
      </c>
      <c r="D51" s="34">
        <f>SUM(D46:D50)</f>
        <v>0</v>
      </c>
      <c r="E51" s="9" t="str">
        <f t="shared" si="4"/>
        <v/>
      </c>
      <c r="F51" s="10" t="str">
        <f t="shared" si="5"/>
        <v/>
      </c>
      <c r="G51" s="47"/>
    </row>
    <row r="52" spans="1:7" ht="17.100000000000001" customHeight="1" thickTop="1">
      <c r="A52" s="48"/>
      <c r="B52" s="49"/>
      <c r="C52" s="49"/>
      <c r="D52" s="49"/>
      <c r="E52" s="49"/>
      <c r="F52" s="49"/>
      <c r="G52" s="47"/>
    </row>
    <row r="53" spans="1:7" ht="24.6" customHeight="1">
      <c r="A53" s="46"/>
      <c r="B53" s="14" t="s">
        <v>67</v>
      </c>
      <c r="C53" s="66"/>
      <c r="D53" s="66"/>
      <c r="E53" s="66"/>
      <c r="F53" s="66"/>
      <c r="G53" s="47"/>
    </row>
    <row r="54" spans="1:7" ht="17.100000000000001" customHeight="1">
      <c r="A54" s="48"/>
      <c r="B54" s="3" t="s">
        <v>18</v>
      </c>
      <c r="C54" s="15">
        <f>C13</f>
        <v>0</v>
      </c>
      <c r="D54" s="15">
        <f>D13</f>
        <v>0</v>
      </c>
      <c r="E54" s="49"/>
      <c r="F54" s="49"/>
      <c r="G54" s="47"/>
    </row>
    <row r="55" spans="1:7" ht="17.100000000000001" customHeight="1">
      <c r="A55" s="48"/>
      <c r="B55" s="16" t="s">
        <v>26</v>
      </c>
      <c r="C55" s="17">
        <f>C19</f>
        <v>0</v>
      </c>
      <c r="D55" s="17">
        <f>D19</f>
        <v>0</v>
      </c>
      <c r="E55" s="49"/>
      <c r="F55" s="49"/>
      <c r="G55" s="47"/>
    </row>
    <row r="56" spans="1:7" ht="17.100000000000001" customHeight="1">
      <c r="A56" s="48"/>
      <c r="B56" s="18" t="s">
        <v>68</v>
      </c>
      <c r="C56" s="19">
        <f>C28+C36+C43+C51</f>
        <v>0</v>
      </c>
      <c r="D56" s="19">
        <f>D28+D36+D43+D51</f>
        <v>0</v>
      </c>
      <c r="E56" s="49"/>
      <c r="F56" s="49"/>
      <c r="G56" s="47"/>
    </row>
    <row r="57" spans="1:7" ht="17.100000000000001" customHeight="1" thickBot="1">
      <c r="A57" s="48"/>
      <c r="B57" s="49"/>
      <c r="C57" s="49"/>
      <c r="D57" s="49"/>
      <c r="E57" s="49"/>
      <c r="F57" s="49"/>
      <c r="G57" s="47"/>
    </row>
    <row r="58" spans="1:7" ht="24.6" customHeight="1">
      <c r="A58" s="46"/>
      <c r="B58" s="20" t="s">
        <v>69</v>
      </c>
      <c r="C58" s="21">
        <f>C54-C55-C56</f>
        <v>0</v>
      </c>
      <c r="D58" s="21">
        <f>D54-D55-D56</f>
        <v>0</v>
      </c>
      <c r="E58" s="67"/>
      <c r="F58" s="67"/>
      <c r="G58" s="47"/>
    </row>
    <row r="59" spans="1:7">
      <c r="A59" s="48"/>
      <c r="B59" s="22" t="s">
        <v>70</v>
      </c>
      <c r="C59" s="49"/>
      <c r="D59" s="49"/>
      <c r="E59" s="49"/>
      <c r="F59" s="49"/>
      <c r="G59" s="47"/>
    </row>
    <row r="61" spans="1:7">
      <c r="A61" s="48"/>
      <c r="B61" s="2"/>
      <c r="C61" s="48"/>
      <c r="D61" s="48"/>
      <c r="E61" s="48"/>
      <c r="F61" s="48"/>
      <c r="G61" s="48"/>
    </row>
    <row r="62" spans="1:7">
      <c r="A62" s="48"/>
      <c r="B62" s="35"/>
      <c r="C62" s="48"/>
      <c r="D62" s="48"/>
      <c r="E62" s="48"/>
      <c r="F62" s="48"/>
      <c r="G62" s="48"/>
    </row>
  </sheetData>
  <sheetProtection formatCells="0" formatColumns="0" formatRows="0"/>
  <mergeCells count="3">
    <mergeCell ref="B1:F1"/>
    <mergeCell ref="B2:F2"/>
    <mergeCell ref="B3:F3"/>
  </mergeCells>
  <conditionalFormatting sqref="C58:D58">
    <cfRule type="cellIs" dxfId="13" priority="13" operator="lessThan">
      <formula>0</formula>
    </cfRule>
    <cfRule type="cellIs" dxfId="12" priority="14" operator="greaterThanOrEqual">
      <formula>0</formula>
    </cfRule>
  </conditionalFormatting>
  <conditionalFormatting sqref="E9:E13">
    <cfRule type="cellIs" dxfId="11" priority="1" operator="greaterThan">
      <formula>0</formula>
    </cfRule>
    <cfRule type="cellIs" dxfId="10" priority="2" operator="lessThan">
      <formula>0</formula>
    </cfRule>
  </conditionalFormatting>
  <conditionalFormatting sqref="E16:E19">
    <cfRule type="cellIs" dxfId="9" priority="3" operator="greaterThan">
      <formula>0</formula>
    </cfRule>
    <cfRule type="cellIs" dxfId="8" priority="4" operator="lessThan">
      <formula>0</formula>
    </cfRule>
  </conditionalFormatting>
  <conditionalFormatting sqref="E22:E28">
    <cfRule type="cellIs" dxfId="7" priority="5" operator="greaterThan">
      <formula>0</formula>
    </cfRule>
    <cfRule type="cellIs" dxfId="6" priority="6" operator="lessThan">
      <formula>0</formula>
    </cfRule>
  </conditionalFormatting>
  <conditionalFormatting sqref="E31:E36">
    <cfRule type="cellIs" dxfId="5" priority="7" operator="greaterThan">
      <formula>0</formula>
    </cfRule>
    <cfRule type="cellIs" dxfId="4" priority="8" operator="lessThan">
      <formula>0</formula>
    </cfRule>
  </conditionalFormatting>
  <conditionalFormatting sqref="E39:E43">
    <cfRule type="cellIs" dxfId="3" priority="9" operator="greaterThan">
      <formula>0</formula>
    </cfRule>
    <cfRule type="cellIs" dxfId="2" priority="10" operator="lessThan">
      <formula>0</formula>
    </cfRule>
  </conditionalFormatting>
  <conditionalFormatting sqref="E46:E51">
    <cfRule type="cellIs" dxfId="1" priority="11" operator="greaterThan">
      <formula>0</formula>
    </cfRule>
    <cfRule type="cellIs" dxfId="0" priority="12" operator="lessThan">
      <formula>0</formula>
    </cfRule>
  </conditionalFormatting>
  <dataValidations count="1">
    <dataValidation type="list" allowBlank="1" showInputMessage="1" showErrorMessage="1" sqref="C5" xr:uid="{0FC92EDC-BA40-408D-B24E-A9F0C76DFF17}">
      <formula1>"Enero,Febrero,Marzo,Abril,Mayo,Junio,Julio,Agosto,Septiembre,Octubre,Noviembre,Diciembre"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Federico Roberi</dc:creator>
  <cp:keywords/>
  <dc:description/>
  <cp:lastModifiedBy>Federico Roberi</cp:lastModifiedBy>
  <cp:revision/>
  <dcterms:created xsi:type="dcterms:W3CDTF">2026-06-12T19:19:54Z</dcterms:created>
  <dcterms:modified xsi:type="dcterms:W3CDTF">2026-06-17T18:43:12Z</dcterms:modified>
  <cp:category/>
  <cp:contentStatus/>
</cp:coreProperties>
</file>